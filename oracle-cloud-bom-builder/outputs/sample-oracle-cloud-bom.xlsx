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AS" state="visible" r:id="rId4"/>
  </sheets>
  <calcPr calcId="171027"/>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<sst xmlns="http://schemas.openxmlformats.org/spreadsheetml/2006/main" count="65" uniqueCount="26">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</sst>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4"/>
    </font>
    <font>
      <sz val="12"/>
    </font>
    <font>
      <b/>
    </font>
    <font>
      <b/>
      <sz val="10"/>
    </font>
    <font>
      <b/>
      <color rgb="f80000"/>
      <sz val="10"/>
    </font>
    <font>
      <sz val="10"/>
    </font>
  </fonts>
  <fills count="2">
    <fill>
      <patternFill patternType="none"/>
    </fill>
    <fill>
      <patternFill patternType="gray125"/>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5"/>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28" customWidth="1"/>
    <col min="10" max="10" width="12" customWidth="1"/>
    <col min="11" max="11" width="22" customWidth="1"/>
    <col min="12" max="12" width="22" customWidth="1"/>
  </cols>
  <sheetData>
    <row r="1">
      <c r="A1" t="inlineStr">
        <is>
          <t>Oracle Investment Proposal (as of 05/22/2026)</t>
        </is>
      </c>
    </row>
    <row r="2">
      <c r="A2" t="inlineStr">
        <is>
          <t>Reference label: Oracle Cloud BOM</t>
        </is>
      </c>
    </row>
    <row r="3">
      <c r="A3" t="inlineStr">
        <is>
          <t>Currency: USD</t>
        </is>
      </c>
      <c r="B3"/>
      <c r="C3"/>
      <c r="D3"/>
      <c r="E3"/>
      <c r="F3"/>
      <c r="G3"/>
      <c r="H3"/>
      <c r="I3"/>
      <c r="J3" t="inlineStr">
        <is>
          <t>Discount %</t>
        </is>
      </c>
      <c r="K3">
        <v>0.15</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Custom Note</t>
        </is>
      </c>
      <c r="J6" t="inlineStr">
        <is>
          <t>Discount %</t>
        </is>
      </c>
      <c r="K6" t="inlineStr">
        <is>
          <t>Discounted Monthly Cost</t>
        </is>
      </c>
      <c r="L6" t="inlineStr">
        <is>
          <t>Discounted Annual Cost</t>
        </is>
      </c>
    </row>
    <row r="7">
      <c r="A7"/>
      <c r="B7" t="inlineStr">
        <is>
          <t>Exadata Database Service</t>
        </is>
      </c>
      <c r="C7"/>
      <c r="D7"/>
      <c r="E7"/>
      <c r="F7"/>
      <c r="G7"/>
      <c r="H7"/>
      <c r="I7"/>
      <c r="J7">
        <f>$K$3</f>
      </c>
      <c r="K7">
        <f>IF(G7="","",G7*(1-$K$3))</f>
      </c>
      <c r="L7">
        <f>IF(K7="","",K7*12)</f>
      </c>
    </row>
    <row r="8">
      <c r="A8" t="inlineStr">
        <is>
          <t>B110629</t>
        </is>
      </c>
      <c r="B8" t="inlineStr">
        <is>
          <t>Exadata Cloud Infrastructure - Storage Server - X11M (Hosted Environment Per Hour)</t>
        </is>
      </c>
      <c r="C8">
        <v>4</v>
      </c>
      <c r="D8">
        <v>1</v>
      </c>
      <c r="E8">
        <v>744</v>
      </c>
      <c r="F8">
        <v>2.9032</v>
      </c>
      <c r="G8">
        <v>8639.9232</v>
      </c>
      <c r="H8"/>
      <c r="I8"/>
      <c r="J8">
        <f>$K$3</f>
      </c>
      <c r="K8">
        <f>IF(G8="","",G8*(1-$K$3))</f>
      </c>
      <c r="L8">
        <f>IF(K8="","",K8*12)</f>
      </c>
    </row>
    <row r="9">
      <c r="A9" t="inlineStr">
        <is>
          <t>B110627</t>
        </is>
      </c>
      <c r="B9" t="inlineStr">
        <is>
          <t>Exadata Cloud Infrastructure - Database Server - X11M (Hosted Environment Per Hour)</t>
        </is>
      </c>
      <c r="C9">
        <v>3</v>
      </c>
      <c r="D9">
        <v>1</v>
      </c>
      <c r="E9">
        <v>744</v>
      </c>
      <c r="F9">
        <v>2.9032</v>
      </c>
      <c r="G9">
        <v>6479.9424</v>
      </c>
      <c r="H9"/>
      <c r="I9"/>
      <c r="J9">
        <f>$K$3</f>
      </c>
      <c r="K9">
        <f>IF(G9="","",G9*(1-$K$3))</f>
      </c>
      <c r="L9">
        <f>IF(K9="","",K9*12)</f>
      </c>
    </row>
    <row r="10">
      <c r="A10" t="inlineStr">
        <is>
          <t>B110631</t>
        </is>
      </c>
      <c r="B10" t="inlineStr">
        <is>
          <t>Exadata Database ECPU - Dedicated Infrastructure (ECPU Per Hour)</t>
        </is>
      </c>
      <c r="C10">
        <v>24</v>
      </c>
      <c r="D10">
        <v>1</v>
      </c>
      <c r="E10">
        <v>744</v>
      </c>
      <c r="F10">
        <v>0.336</v>
      </c>
      <c r="G10">
        <v>5999.616</v>
      </c>
      <c r="H10"/>
      <c r="I10"/>
      <c r="J10">
        <f>$K$3</f>
      </c>
      <c r="K10">
        <f>IF(G10="","",G10*(1-$K$3))</f>
      </c>
      <c r="L10">
        <f>IF(K10="","",K10*12)</f>
      </c>
    </row>
    <row r="11">
      <c r="B11" t="inlineStr">
        <is>
          <t>Monthly Total</t>
        </is>
      </c>
      <c r="G11">
        <f>SUM(G7:G10)</f>
      </c>
      <c r="J11">
        <f>$K$3</f>
      </c>
      <c r="K11">
        <f>SUM(K7:K10)</f>
      </c>
      <c r="L11">
        <f>SUM(L7:L10)</f>
      </c>
    </row>
    <row r="13">
      <c r="A13" t="inlineStr">
        <is>
          <t>Quote is for investment proposal only.</t>
        </is>
      </c>
    </row>
    <row r="15">
      <c r="A15" t="inlineStr">
        <is>
          <t>Disclaimer: Pricing is an estimate based on Oracle Cost Estimator or user-provided list-price inputs. It is not a formal Oracle quote. Validate pricing, terms, discounts, and availability with Oracle before procurement.</t>
        </is>
      </c>
    </row>
  </sheetData>
  <autoFilter ref="A6:L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
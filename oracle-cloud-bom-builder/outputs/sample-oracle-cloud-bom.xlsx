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AS" state="visible" r:id="rId4"/>
  </sheets>
  <calcPr calcId="171027"/>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<sst xmlns="http://schemas.openxmlformats.org/spreadsheetml/2006/main" count="65" uniqueCount="26">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</sst>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4"/>
    </font>
    <font>
      <sz val="12"/>
    </font>
    <font>
      <b/>
    </font>
    <font>
      <b/>
      <sz val="10"/>
    </font>
    <font>
      <b/>
      <color rgb="f80000"/>
      <sz val="10"/>
    </font>
    <font>
      <sz val="10"/>
    </font>
  </fonts>
  <fills count="2">
    <fill>
      <patternFill patternType="none"/>
    </fill>
    <fill>
      <patternFill patternType="gray125"/>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L16"/>
  <sheetViews>
    <sheetView workbookViewId="0">
      <pane ySplit="6" topLeftCell="A7" activePane="bottomLeft" state="frozen"/>
    </sheetView>
  </sheetViews>
  <sheetFormatPr defaultRowHeight="15"/>
  <cols>
    <col min="1" max="1" width="16" customWidth="1"/>
    <col min="2" max="2" width="72" customWidth="1"/>
    <col min="3" max="3" width="12" customWidth="1"/>
    <col min="4" max="4" width="14" customWidth="1"/>
    <col min="5" max="5" width="12" customWidth="1"/>
    <col min="6" max="6" width="12" customWidth="1"/>
    <col min="7" max="7" width="14" customWidth="1"/>
    <col min="8" max="8" width="20" customWidth="1"/>
    <col min="9" max="9" width="28" customWidth="1"/>
    <col min="10" max="10" width="12" customWidth="1"/>
    <col min="11" max="11" width="22" customWidth="1"/>
    <col min="12" max="12" width="22" customWidth="1"/>
  </cols>
  <sheetData>
    <row r="1">
      <c r="A1" t="inlineStr">
        <is>
          <t>Oracle Investment Proposal (as of 06/22/2026)</t>
        </is>
      </c>
    </row>
    <row r="2">
      <c r="A2" t="inlineStr">
        <is>
          <t>Reference label: Oracle Cloud BOM</t>
        </is>
      </c>
    </row>
    <row r="3">
      <c r="A3" t="inlineStr">
        <is>
          <t>Currency: USD</t>
        </is>
      </c>
      <c r="B3"/>
      <c r="C3"/>
      <c r="D3"/>
      <c r="E3"/>
      <c r="F3"/>
      <c r="G3"/>
      <c r="H3"/>
      <c r="I3"/>
      <c r="J3" t="inlineStr">
        <is>
          <t>Discount %</t>
        </is>
      </c>
      <c r="K3">
        <v>0.15</v>
      </c>
    </row>
    <row r="4">
      <c r="A4" t="inlineStr">
        <is>
          <t>Realm: PUBLIC</t>
        </is>
      </c>
    </row>
    <row r="5">
      <c r="A5" t="inlineStr">
        <is>
          <t>Service Type: PAAS</t>
        </is>
      </c>
    </row>
    <row r="6">
      <c r="A6" t="inlineStr">
        <is>
          <t>Part</t>
        </is>
      </c>
      <c r="B6" t="inlineStr">
        <is>
          <t>Description</t>
        </is>
      </c>
      <c r="C6" t="inlineStr">
        <is>
          <t>Part Qty</t>
        </is>
      </c>
      <c r="D6" t="inlineStr">
        <is>
          <t>Instance Qty</t>
        </is>
      </c>
      <c r="E6" t="inlineStr">
        <is>
          <t>Usage Qty</t>
        </is>
      </c>
      <c r="F6" t="inlineStr">
        <is>
          <t>Unit Price</t>
        </is>
      </c>
      <c r="G6" t="inlineStr">
        <is>
          <t>Monthly Cost</t>
        </is>
      </c>
      <c r="H6" t="inlineStr">
        <is>
          <t>Custom Label</t>
        </is>
      </c>
      <c r="I6" t="inlineStr">
        <is>
          <t>Custom Note</t>
        </is>
      </c>
      <c r="J6" t="inlineStr">
        <is>
          <t>Discount %</t>
        </is>
      </c>
      <c r="K6" t="inlineStr">
        <is>
          <t>Discounted Monthly Cost</t>
        </is>
      </c>
      <c r="L6" t="inlineStr">
        <is>
          <t>Discounted Annual Cost</t>
        </is>
      </c>
    </row>
    <row r="7">
      <c r="A7"/>
      <c r="B7" t="inlineStr">
        <is>
          <t>Exadata Database Service on Cloud@Customer X11M</t>
        </is>
      </c>
      <c r="C7"/>
      <c r="D7"/>
      <c r="E7"/>
      <c r="F7"/>
      <c r="G7"/>
      <c r="H7"/>
      <c r="I7" t="inlineStr">
        <is>
          <t>Test BOM baseline: single rack; High redundancy default; license model TBD - choose BYOL or License Included.</t>
        </is>
      </c>
      <c r="J7">
        <f>$K$3</f>
      </c>
      <c r="K7">
        <f>IF(G7="","",G7*(1-$K$3))</f>
      </c>
      <c r="L7">
        <f>IF(K7="","",K7*12)</f>
      </c>
    </row>
    <row r="8">
      <c r="A8"/>
      <c r="B8" t="inlineStr">
        <is>
          <t>Exadata Cloud@Customer X11M Rack - single rack baseline</t>
        </is>
      </c>
      <c r="C8">
        <v>1</v>
      </c>
      <c r="D8">
        <v>1</v>
      </c>
      <c r="E8"/>
      <c r="F8"/>
      <c r="G8"/>
      <c r="H8"/>
      <c r="I8" t="inlineStr">
        <is>
          <t>Each rack should be modeled as prepopulated with 2 database servers.</t>
        </is>
      </c>
      <c r="J8">
        <f>$K$3</f>
      </c>
      <c r="K8">
        <f>IF(G8="","",G8*(1-$K$3))</f>
      </c>
      <c r="L8">
        <f>IF(K8="","",K8*12)</f>
      </c>
    </row>
    <row r="9">
      <c r="A9"/>
      <c r="B9" t="inlineStr">
        <is>
          <t>Exadata Database Service on Cloud@Customer X11M - Database Server</t>
        </is>
      </c>
      <c r="C9">
        <v>2</v>
      </c>
      <c r="D9">
        <v>1</v>
      </c>
      <c r="E9"/>
      <c r="F9"/>
      <c r="G9"/>
      <c r="H9"/>
      <c r="I9" t="inlineStr">
        <is>
          <t>Baseline single-rack configuration includes 2 database servers. Additional database servers increase usable memory and database cores/ECPUs.</t>
        </is>
      </c>
      <c r="J9">
        <f>$K$3</f>
      </c>
      <c r="K9">
        <f>IF(G9="","",G9*(1-$K$3))</f>
      </c>
      <c r="L9">
        <f>IF(K9="","",K9*12)</f>
      </c>
    </row>
    <row r="10">
      <c r="A10"/>
      <c r="B10" t="inlineStr">
        <is>
          <t>Exadata Database Service on Cloud@Customer X11M - Storage Server</t>
        </is>
      </c>
      <c r="C10">
        <v>3</v>
      </c>
      <c r="D10">
        <v>1</v>
      </c>
      <c r="E10"/>
      <c r="F10"/>
      <c r="G10"/>
      <c r="H10"/>
      <c r="I10" t="inlineStr">
        <is>
          <t>Minimum storage-server count is 3. Assumes High redundancy unless Normal redundancy is explicitly specified.</t>
        </is>
      </c>
      <c r="J10">
        <f>$K$3</f>
      </c>
      <c r="K10">
        <f>IF(G10="","",G10*(1-$K$3))</f>
      </c>
      <c r="L10">
        <f>IF(K10="","",K10*12)</f>
      </c>
    </row>
    <row r="11">
      <c r="A11"/>
      <c r="B11" t="inlineStr">
        <is>
          <t>Exadata Database ECPU - Dedicated Infrastructure</t>
        </is>
      </c>
      <c r="C11"/>
      <c r="D11">
        <v>1</v>
      </c>
      <c r="E11">
        <v>744</v>
      </c>
      <c r="F11"/>
      <c r="G11"/>
      <c r="H11"/>
      <c r="I11" t="inlineStr">
        <is>
          <t>Software license model TBD - choose BYOL or License Included before final pricing.</t>
        </is>
      </c>
      <c r="J11">
        <f>$K$3</f>
      </c>
      <c r="K11">
        <f>IF(G11="","",G11*(1-$K$3))</f>
      </c>
      <c r="L11">
        <f>IF(K11="","",K11*12)</f>
      </c>
    </row>
    <row r="12">
      <c r="B12" t="inlineStr">
        <is>
          <t>Monthly Total</t>
        </is>
      </c>
      <c r="G12">
        <f>SUM(G7:G11)</f>
      </c>
      <c r="J12">
        <f>$K$3</f>
      </c>
      <c r="K12">
        <f>SUM(K7:K11)</f>
      </c>
      <c r="L12">
        <f>SUM(L7:L11)</f>
      </c>
    </row>
    <row r="14">
      <c r="A14" t="inlineStr">
        <is>
          <t>Quote is for investment proposal only.</t>
        </is>
      </c>
    </row>
    <row r="16">
      <c r="A16" t="inlineStr">
        <is>
          <t>Disclaimer: Pricing is an estimate based on Oracle Cost Estimator or user-provided list-price inputs. It is not a formal Oracle quote. Validate pricing, terms, discounts, and availability with Oracle before procurement.</t>
        </is>
      </c>
    </row>
  </sheetData>
  <autoFilter ref="A6:L1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
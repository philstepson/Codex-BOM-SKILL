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<sst xmlns="http://schemas.openxmlformats.org/spreadsheetml/2006/main" count="65" uniqueCount="26">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</sst>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t="inlineStr">
        <is>
          <t>Exadata Database Service on Cloud@Customer X11M</t>
        </is>
      </c>
      <c r="C7"/>
      <c r="D7"/>
      <c r="E7"/>
      <c r="F7"/>
      <c r="G7" s="23"/>
      <c r="H7"/>
      <c r="I7" s="9">
        <f>IF($K$3&gt;1,$K$3/100,$K$3)</f>
        <v>0.15</v>
      </c>
      <c r="J7" s="23">
        <f>IF(G7="","",G7*(1-IF($K$3&gt;1,$K$3/100,$K$3)))</f>
      </c>
      <c r="K7" s="23">
        <f>IF(J7="","",J7*12)</f>
      </c>
      <c r="L7" t="inlineStr">
        <is>
          <t>Test BOM baseline: single rack; High redundancy default; license model TBD - choose BYOL or License Included.</t>
        </is>
      </c>
    </row>
    <row r="8">
      <c r="A8"/>
      <c r="B8" t="inlineStr">
        <is>
          <t>Exadata Cloud@Customer X11M Rack - single rack baseline</t>
        </is>
      </c>
      <c r="C8">
        <v>1</v>
      </c>
      <c r="D8">
        <v>1</v>
      </c>
      <c r="E8"/>
      <c r="F8"/>
      <c r="G8" s="23"/>
      <c r="H8"/>
      <c r="I8" s="9">
        <f>IF($K$3&gt;1,$K$3/100,$K$3)</f>
        <v>0.15</v>
      </c>
      <c r="J8" s="23">
        <f>IF(G8="","",G8*(1-IF($K$3&gt;1,$K$3/100,$K$3)))</f>
      </c>
      <c r="K8" s="23">
        <f>IF(J8="","",J8*12)</f>
      </c>
      <c r="L8" t="inlineStr">
        <is>
          <t>Each rack should be modeled as prepopulated with 2 database servers.</t>
        </is>
      </c>
    </row>
    <row r="9">
      <c r="A9"/>
      <c r="B9" t="inlineStr">
        <is>
          <t>Exadata Database Service on Cloud@Customer X11M - Database Server</t>
        </is>
      </c>
      <c r="C9">
        <v>2</v>
      </c>
      <c r="D9">
        <v>1</v>
      </c>
      <c r="E9"/>
      <c r="F9"/>
      <c r="G9" s="23"/>
      <c r="H9"/>
      <c r="I9" s="9">
        <f>IF($K$3&gt;1,$K$3/100,$K$3)</f>
        <v>0.15</v>
      </c>
      <c r="J9" s="23">
        <f>IF(G9="","",G9*(1-IF($K$3&gt;1,$K$3/100,$K$3)))</f>
      </c>
      <c r="K9" s="23">
        <f>IF(J9="","",J9*12)</f>
      </c>
      <c r="L9" t="inlineStr">
        <is>
          <t>Baseline single-rack configuration includes 2 database servers. Additional database servers increase usable memory and database cores/ECPUs.</t>
        </is>
      </c>
    </row>
    <row r="10">
      <c r="A10"/>
      <c r="B10" t="inlineStr">
        <is>
          <t>Exadata Database Service on Cloud@Customer X11M - Storage Server</t>
        </is>
      </c>
      <c r="C10">
        <v>3</v>
      </c>
      <c r="D10">
        <v>1</v>
      </c>
      <c r="E10"/>
      <c r="F10"/>
      <c r="G10" s="23"/>
      <c r="H10"/>
      <c r="I10" s="9">
        <f>IF($K$3&gt;1,$K$3/100,$K$3)</f>
        <v>0.15</v>
      </c>
      <c r="J10" s="23">
        <f>IF(G10="","",G10*(1-IF($K$3&gt;1,$K$3/100,$K$3)))</f>
      </c>
      <c r="K10" s="23">
        <f>IF(J10="","",J10*12)</f>
      </c>
      <c r="L10" t="inlineStr">
        <is>
          <t>Minimum storage-server count is 3. Assumes High redundancy unless Normal redundancy is explicitly specified.</t>
        </is>
      </c>
    </row>
    <row r="11">
      <c r="A11"/>
      <c r="B11" t="inlineStr">
        <is>
          <t>Exadata Database ECPU - Dedicated Infrastructure</t>
        </is>
      </c>
      <c r="C11"/>
      <c r="D11">
        <v>1</v>
      </c>
      <c r="E11">
        <v>744</v>
      </c>
      <c r="F11"/>
      <c r="G11" s="23"/>
      <c r="H11"/>
      <c r="I11" s="9">
        <f>IF($K$3&gt;1,$K$3/100,$K$3)</f>
        <v>0.15</v>
      </c>
      <c r="J11" s="23">
        <f>IF(G11="","",G11*(1-IF($K$3&gt;1,$K$3/100,$K$3)))</f>
      </c>
      <c r="K11" s="23">
        <f>IF(J11="","",J11*12)</f>
      </c>
      <c r="L11" t="inlineStr">
        <is>
          <t>Software license model TBD - choose BYOL or License Included before final pricing.</t>
        </is>
      </c>
    </row>
    <row r="12">
      <c r="B12" t="inlineStr">
        <is>
          <t>Monthly Total</t>
        </is>
      </c>
      <c r="G12" s="23">
        <f>SUM(G7:G11)</f>
        <v>0</v>
      </c>
      <c r="I12" s="9">
        <f>IF($K$3&gt;1,$K$3/100,$K$3)</f>
        <v>0.15</v>
      </c>
      <c r="J12" s="23">
        <f>SUM(J7:J11)</f>
        <v>0</v>
      </c>
      <c r="K12" s="23">
        <f>SUM(K7:K11)</f>
        <v>0</v>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8" customWidth="1"/>
    <col min="2" max="2" width="16" customWidth="1"/>
    <col min="3" max="3" width="72" customWidth="1"/>
    <col min="4" max="4" width="12" customWidth="1"/>
    <col min="5" max="5" width="14" customWidth="1"/>
    <col min="6" max="6" width="12" customWidth="1"/>
    <col min="7" max="7" width="18" customWidth="1"/>
    <col min="8" max="8" width="16" customWidth="1"/>
    <col min="9" max="9" width="18" customWidth="1"/>
    <col min="10" max="10" width="18" customWidth="1"/>
    <col min="11" max="11" width="18" customWidth="1"/>
    <col min="12" max="12" width="34"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is>
          <t>List-price customer view. Discount calculations are intentionally omitted.</t>
        </is>
      </c>
    </row>
    <row r="6">
      <c r="A6" t="inlineStr">
        <is>
          <t>Environment</t>
        </is>
      </c>
      <c r="B6" t="inlineStr">
        <is>
          <t>Part</t>
        </is>
      </c>
      <c r="C6" t="inlineStr">
        <is>
          <t>Description</t>
        </is>
      </c>
      <c r="D6" t="inlineStr">
        <is>
          <t>Part Qty</t>
        </is>
      </c>
      <c r="E6" t="inlineStr">
        <is>
          <t>Instance Qty</t>
        </is>
      </c>
      <c r="F6" t="inlineStr">
        <is>
          <t>Usage Qty</t>
        </is>
      </c>
      <c r="G6" t="inlineStr">
        <is>
          <t>Billing Basis</t>
        </is>
      </c>
      <c r="H6" t="inlineStr">
        <is>
          <t>Unit List Price</t>
        </is>
      </c>
      <c r="I6" t="inlineStr">
        <is>
          <t>Monthly List Price</t>
        </is>
      </c>
      <c r="J6" t="inlineStr">
        <is>
          <t>Annual List Price</t>
        </is>
      </c>
      <c r="K6" t="inlineStr">
        <is>
          <t>One-Time List Price</t>
        </is>
      </c>
      <c r="L6" t="inlineStr">
        <is>
          <t>Customer Note</t>
        </is>
      </c>
    </row>
    <row r="7">
      <c r="A7" t="inlineStr">
        <is>
          <t>General</t>
        </is>
      </c>
      <c r="B7"/>
      <c r="C7" t="inlineStr">
        <is>
          <t>Exadata Database Service on Cloud@Customer X11M</t>
        </is>
      </c>
      <c r="D7"/>
      <c r="E7"/>
      <c r="F7"/>
      <c r="G7"/>
      <c r="H7"/>
      <c r="I7" s="23"/>
      <c r="J7" s="23"/>
      <c r="K7" s="23"/>
      <c r="L7" t="inlineStr">
        <is>
          <t>Test BOM baseline: single rack; High redundancy default; license model TBD - choose BYOL or License Included.</t>
        </is>
      </c>
    </row>
    <row r="8">
      <c r="A8" t="inlineStr">
        <is>
          <t>General</t>
        </is>
      </c>
      <c r="B8"/>
      <c r="C8" t="inlineStr">
        <is>
          <t>Exadata Cloud@Customer X11M Rack - single rack baseline</t>
        </is>
      </c>
      <c r="D8">
        <v>1</v>
      </c>
      <c r="E8">
        <v>1</v>
      </c>
      <c r="F8"/>
      <c r="G8"/>
      <c r="H8"/>
      <c r="I8" s="23"/>
      <c r="J8" s="23"/>
      <c r="K8" s="23"/>
      <c r="L8" t="inlineStr">
        <is>
          <t>Each rack should be modeled as prepopulated with 2 database servers.</t>
        </is>
      </c>
    </row>
    <row r="9">
      <c r="A9" t="inlineStr">
        <is>
          <t>General</t>
        </is>
      </c>
      <c r="B9"/>
      <c r="C9" t="inlineStr">
        <is>
          <t>Exadata Database Service on Cloud@Customer X11M - Database Server</t>
        </is>
      </c>
      <c r="D9">
        <v>2</v>
      </c>
      <c r="E9">
        <v>1</v>
      </c>
      <c r="F9"/>
      <c r="G9"/>
      <c r="H9"/>
      <c r="I9" s="23"/>
      <c r="J9" s="23"/>
      <c r="K9" s="23"/>
      <c r="L9" t="inlineStr">
        <is>
          <t>Baseline single-rack configuration includes 2 database servers. Additional database servers increase usable memory and database cores/ECPUs.</t>
        </is>
      </c>
    </row>
    <row r="10">
      <c r="A10" t="inlineStr">
        <is>
          <t>General</t>
        </is>
      </c>
      <c r="B10"/>
      <c r="C10" t="inlineStr">
        <is>
          <t>Exadata Database Service on Cloud@Customer X11M - Storage Server</t>
        </is>
      </c>
      <c r="D10">
        <v>3</v>
      </c>
      <c r="E10">
        <v>1</v>
      </c>
      <c r="F10"/>
      <c r="G10"/>
      <c r="H10"/>
      <c r="I10" s="23"/>
      <c r="J10" s="23"/>
      <c r="K10" s="23"/>
      <c r="L10" t="inlineStr">
        <is>
          <t>Minimum storage-server count is 3. Assumes High redundancy unless Normal redundancy is explicitly specified.</t>
        </is>
      </c>
    </row>
    <row r="11">
      <c r="A11" t="inlineStr">
        <is>
          <t>General</t>
        </is>
      </c>
      <c r="B11"/>
      <c r="C11" t="inlineStr">
        <is>
          <t>Exadata Database ECPU - Dedicated Infrastructure</t>
        </is>
      </c>
      <c r="D11"/>
      <c r="E11">
        <v>1</v>
      </c>
      <c r="F11">
        <v>744</v>
      </c>
      <c r="G11"/>
      <c r="H11"/>
      <c r="I11" s="23"/>
      <c r="J11" s="23"/>
      <c r="K11" s="23"/>
      <c r="L11" t="inlineStr">
        <is>
          <t>Software license model TBD - choose BYOL or License Included before final pricing.</t>
        </is>
      </c>
    </row>
    <row r="12">
      <c r="C12" t="inlineStr">
        <is>
          <t>Customer BOM Total</t>
        </is>
      </c>
      <c r="I12" s="23">
        <f>SUM(I7:I11)</f>
        <v>0</v>
      </c>
      <c r="J12" s="23">
        <f>SUM(J7:J11)</f>
        <v>0</v>
      </c>
      <c r="K12" s="23">
        <f>SUM(K7:K11)</f>
        <v>0</v>
      </c>
    </row>
    <row r="14">
      <c r="A14" t="inlineStr">
        <is>
          <t>Customer-facing view shows list prices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
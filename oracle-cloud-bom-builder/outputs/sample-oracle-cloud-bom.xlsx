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activeTab="1" firstSheet="1"/>
  </bookViews>
  <sheets>
    <sheet sheetId="1" name="PAAS" state="visible" r:id="rId4"/>
    <sheet sheetId="2" name="Customer BOM" state="visible" r:id="rId5"/>
  </sheets>
  <calcPr calcMode="auto" fullCalcOnLoad="1" forceFullCalc="1"/>
</workbook>
</file>

<file path=xl/sharedStrings.xml><?xml version="1.0" encoding="utf-8"?>
<sst xmlns="http://schemas.openxmlformats.org/spreadsheetml/2006/main" count="65" uniqueCount="26">
  <si>
    <t>Oracle Investment Proposal (as of 05/22/2026)</t>
  </si>
  <si>
    <t xml:space="preserve"> </t>
  </si>
  <si>
    <t>Reference label: My Estimate</t>
  </si>
  <si>
    <t>Currency: USD</t>
  </si>
  <si>
    <t>Realm: PUBLIC</t>
  </si>
  <si>
    <t>Service Type: PAAS</t>
  </si>
  <si>
    <t>Part</t>
  </si>
  <si>
    <t>Description</t>
  </si>
  <si>
    <t>Part Qty</t>
  </si>
  <si>
    <t>Instance Qty</t>
  </si>
  <si>
    <t>Usage Qty</t>
  </si>
  <si>
    <t>Unit Price</t>
  </si>
  <si>
    <t>Monthly Cost</t>
  </si>
  <si>
    <t>Custom Label</t>
  </si>
  <si>
    <t>Custom Note</t>
  </si>
  <si>
    <t>Exadata Database Service</t>
  </si>
  <si>
    <t>B110629</t>
  </si>
  <si>
    <t>Exadata Cloud Infrastructure - Storage Server - X11M (Hosted Environment Per Hour)</t>
  </si>
  <si>
    <t>B110627</t>
  </si>
  <si>
    <t>Exadata Cloud Infrastructure - Database Server - X11M (Hosted Environment Per Hour)</t>
  </si>
  <si>
    <t>B110631</t>
  </si>
  <si>
    <t>Exadata Database ECPU - Dedicated Infrastructure (ECPU Per Hour)</t>
  </si>
  <si>
    <t>Monthly Total</t>
  </si>
  <si>
    <t/>
  </si>
  <si>
    <t>Quote is for investment proposal only.</t>
  </si>
  <si>
    <t>Disclaimer:  This sample quote is provided solely for evaluation purposes and is intended to further discussions between you and Oracle.  This sample quote is not eligible for acceptance by you and is not a binding contract between you and Oracle for the services specified.  If you would like to purchase the services specified in this sample quote, please request that Oracle issue you a formal quote (which may include an OMA or a CSA if you do not already have an appropriate agreement in place with Oracle) for your acceptance and execution.  Your formal quote will be effective only upon Oracle's acceptance of the formal quote (and the OMA or CSA, if required).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</si>
</sst>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
  </numFmts>
  <fonts count="7" x14ac:knownFonts="1">
    <font>
      <color theme="1"/>
      <family val="2"/>
      <scheme val="minor"/>
      <sz val="11"/>
      <name val="Calibri"/>
    </font>
    <font>
      <b/>
      <sz val="14"/>
    </font>
    <font>
      <sz val="12"/>
    </font>
    <font>
      <b/>
    </font>
    <font>
      <b/>
      <sz val="10"/>
    </font>
    <font>
      <b/>
      <color rgb="f80000"/>
      <sz val="10"/>
    </font>
    <font>
      <sz val="10"/>
    </font>
  </fonts>
  <fills count="10">
    <fill>
      <patternFill patternType="none"/>
    </fill>
    <fill>
      <patternFill patternType="gray125"/>
    </fill>
    <fill>
      <patternFill patternType="solid">
        <fgColor rgb="FFD9E2F3"/>
        <bgColor indexed="64"/>
      </patternFill>
    </fill>
    <fill>
      <patternFill patternType="solid">
        <fgColor rgb="FF305496"/>
        <bgColor indexed="64"/>
      </patternFill>
    </fill>
    <fill>
      <patternFill patternType="solid">
        <fgColor rgb="FFC94938"/>
        <bgColor indexed="64"/>
      </patternFill>
    </fill>
    <fill>
      <patternFill patternType="solid">
        <fgColor rgb="FF9C918A"/>
        <bgColor indexed="64"/>
      </patternFill>
    </fill>
    <fill>
      <patternFill patternType="solid">
        <fgColor rgb="FF6D8F8D"/>
        <bgColor indexed="64"/>
      </patternFill>
    </fill>
    <fill>
      <patternFill patternType="solid">
        <fgColor rgb="FF2F5D6B"/>
        <bgColor indexed="64"/>
      </patternFill>
    </fill>
    <fill>
      <patternFill patternType="solid">
        <fgColor rgb="FF000000"/>
        <bgColor indexed="64"/>
      </patternFill>
    </fill>
    <fill>
      <patternFill patternType="solid">
        <fgColor rgb="FF6F6F6F"/>
        <bgColor indexed="64"/>
      </patternFill>
    </fill>
  </fills>
  <borders count="1">
    <border>
      <left/>
      <right/>
      <top/>
      <bottom/>
      <diagonal/>
    </border>
  </borders>
  <cellStyleXfs count="1">
    <xf numFmtId="0" fontId="0" fillId="0" borderId="0"/>
  </cellStyleXfs>
  <cellXfs count="32">
    <xf numFmtId="0" fontId="0" fillId="0" borderId="0" xfId="0"/>
    <xf numFmtId="49" fontId="0" fillId="0" borderId="0" xfId="0" applyNumberFormat="1"/>
    <xf numFmtId="0" fontId="1" fillId="0" borderId="0" xfId="0" applyFont="1"/>
    <xf numFmtId="0" fontId="1" fillId="0" borderId="0" xfId="0" applyFont="1" applyAlignment="1">
      <alignment horizontal="center"/>
    </xf>
    <xf numFmtId="0" fontId="1" fillId="0" borderId="0" xfId="0" applyFont="1" applyAlignment="1">
      <alignment horizontal="left"/>
    </xf>
    <xf numFmtId="0" fontId="2" fillId="0" borderId="0" xfId="0" applyFont="1"/>
    <xf numFmtId="0" fontId="2" fillId="0" borderId="0" xfId="0" applyFont="1" applyAlignment="1">
      <alignment horizontal="center"/>
    </xf>
    <xf numFmtId="0" fontId="2" fillId="0" borderId="0" xfId="0" applyFont="1" applyAlignment="1">
      <alignment horizontal="left"/>
    </xf>
    <xf numFmtId="0" fontId="0" fillId="0" borderId="0" xfId="0" applyAlignment="1">
      <alignment horizontal="center"/>
    </xf>
    <xf numFmtId="0" fontId="0" fillId="0" borderId="0" xfId="0" applyAlignment="1">
      <alignment horizontal="left"/>
    </xf>
    <xf numFmtId="0" fontId="3" fillId="0" borderId="0" xfId="0" applyFont="1" applyAlignment="1">
      <alignment vertical="center" wrapText="1"/>
    </xf>
    <xf numFmtId="49" fontId="3" fillId="0" borderId="0" xfId="0" applyNumberFormat="1" applyFont="1" applyAlignment="1">
      <alignment vertical="center" wrapText="1"/>
    </xf>
    <xf numFmtId="49" fontId="4" fillId="0" borderId="0" xfId="0" applyNumberFormat="1" applyFont="1"/>
    <xf numFmtId="49" fontId="0" fillId="0" borderId="0" xfId="0" applyNumberFormat="1" applyAlignment="1">
      <alignment horizontal="left" vertical="bottom" wrapText="1" indent="4"/>
    </xf>
    <xf numFmtId="0" fontId="3" fillId="0" borderId="0" xfId="0" applyFont="1"/>
    <xf numFmtId="49" fontId="3" fillId="0" borderId="0" xfId="0" applyNumberFormat="1" applyFont="1"/>
    <xf numFmtId="0" fontId="3" fillId="0" borderId="0" xfId="0" applyFont="1" applyAlignment="1">
      <alignment horizontal="center"/>
    </xf>
    <xf numFmtId="0" fontId="3" fillId="0" borderId="0" xfId="0" applyFont="1" applyAlignment="1">
      <alignment horizontal="left"/>
    </xf>
    <xf numFmtId="0" fontId="5" fillId="0" borderId="0" xfId="0" applyFont="1"/>
    <xf numFmtId="0" fontId="5" fillId="0" borderId="0" xfId="0" applyFont="1" applyAlignment="1">
      <alignment horizontal="center"/>
    </xf>
    <xf numFmtId="0" fontId="5" fillId="0" borderId="0" xfId="0" applyFont="1" applyAlignment="1">
      <alignment horizontal="left"/>
    </xf>
    <xf numFmtId="0" fontId="6" fillId="0" borderId="0" xfId="0" applyFont="1" applyAlignment="1">
      <alignment vertical="top" wrapText="1"/>
    </xf>
    <xf numFmtId="0" fontId="6" fillId="0" borderId="0" xfId="0" applyFont="1" applyAlignment="1">
      <alignment horizontal="left"/>
    </xf>
    <xf numFmtId="164" fontId="0" fillId="0" borderId="0" xfId="0" applyNumberFormat="1"/>
    <xf numFmtId="0" fontId="3" fillId="2" borderId="0" xfId="0" applyFont="1" applyFill="1" applyAlignment="1">
      <alignment horizontal="center" vertical="center" wrapText="1"/>
    </xf>
    <xf numFmtId="0" fontId="3" fillId="3" borderId="0" xfId="0" applyFont="1" applyFill="1" applyAlignment="1">
      <alignment horizontal="center" vertical="center" wrapText="1"/>
    </xf>
    <xf numFmtId="0" fontId="3" fillId="4" borderId="0" xfId="0" applyFont="1" applyFill="1" applyAlignment="1">
      <alignment horizontal="center" vertical="center" wrapText="1"/>
    </xf>
    <xf numFmtId="0" fontId="3" fillId="5" borderId="0" xfId="0" applyFont="1" applyFill="1" applyAlignment="1">
      <alignment horizontal="center" vertical="center" wrapText="1"/>
    </xf>
    <xf numFmtId="0" fontId="3" fillId="6" borderId="0" xfId="0" applyFont="1" applyFill="1" applyAlignment="1">
      <alignment horizontal="center" vertical="center" wrapText="1"/>
    </xf>
    <xf numFmtId="0" fontId="3" fillId="7" borderId="0" xfId="0" applyFont="1" applyFill="1" applyAlignment="1">
      <alignment horizontal="center" vertical="center" wrapText="1"/>
    </xf>
    <xf numFmtId="0" fontId="3" fillId="8" borderId="0" xfId="0" applyFont="1" applyFill="1" applyAlignment="1">
      <alignment horizontal="center" vertical="center" wrapText="1"/>
    </xf>
    <xf numFmtId="0" fontId="3" fillId="9" borderId="0" xfId="0" applyFont="1" applyFill="1" applyAlignment="1">
      <alignment horizontal="center" vertical="center" wrapText="1"/>
    </xf>
  </cellXfs>
  <cellStyles count="1">
    <cellStyle name="Normal" xfId="0" builtinId="0"/>
  </cellStyles>
  <dxfs count="1">
    <dxf>
      <fill>
        <patternFill patternType="solid">
          <bgColor rgb="FFE4F1F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 customerBomStyleFills -->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L16"/>
  <sheetViews>
    <sheetView workbookViewId="0">
      <pane ySplit="6" topLeftCell="A7" activePane="bottomLeft" state="frozen"/>
    </sheetView>
  </sheetViews>
  <sheetFormatPr defaultRowHeight="15"/>
  <cols>
    <col min="1" max="1" width="16" customWidth="1"/>
    <col min="2" max="2" width="72" customWidth="1"/>
    <col min="3" max="3" width="12" customWidth="1"/>
    <col min="4" max="4" width="14" customWidth="1"/>
    <col min="5" max="5" width="12" customWidth="1"/>
    <col min="6" max="6" width="12" customWidth="1"/>
    <col min="7" max="7" width="14" customWidth="1"/>
    <col min="8" max="8" width="20" customWidth="1"/>
    <col min="9" max="9" width="12" customWidth="1"/>
    <col min="10" max="10" width="22" customWidth="1"/>
    <col min="11" max="11" width="22" customWidth="1"/>
    <col min="12" max="12" width="28" customWidth="1" hidden="1"/>
  </cols>
  <sheetData>
    <row r="1">
      <c r="A1" t="inlineStr">
        <is>
          <t>Oracle Investment Proposal (as of 06/26/2026)</t>
        </is>
      </c>
    </row>
    <row r="2">
      <c r="A2" t="inlineStr">
        <is>
          <t>Reference label: Oracle Cloud BOM</t>
        </is>
      </c>
    </row>
    <row r="3">
      <c r="A3" t="inlineStr">
        <is>
          <t>Currency: USD</t>
        </is>
      </c>
      <c r="B3"/>
      <c r="C3"/>
      <c r="D3"/>
      <c r="E3"/>
      <c r="F3"/>
      <c r="G3"/>
      <c r="H3"/>
      <c r="I3"/>
      <c r="J3" t="inlineStr">
        <is>
          <t>Discount %</t>
        </is>
      </c>
      <c r="K3" s="9">
        <v>15.0</v>
      </c>
    </row>
    <row r="4">
      <c r="A4" t="inlineStr">
        <is>
          <t>Realm: PUBLIC</t>
        </is>
      </c>
    </row>
    <row r="5">
      <c r="A5" t="inlineStr">
        <is>
          <t>Service Type: PAAS</t>
        </is>
      </c>
    </row>
    <row r="6">
      <c r="A6" t="inlineStr">
        <is>
          <t>Part</t>
        </is>
      </c>
      <c r="B6" t="inlineStr">
        <is>
          <t>Description</t>
        </is>
      </c>
      <c r="C6" t="inlineStr">
        <is>
          <t>Part Qty</t>
        </is>
      </c>
      <c r="D6" t="inlineStr">
        <is>
          <t>Instance Qty</t>
        </is>
      </c>
      <c r="E6" t="inlineStr">
        <is>
          <t>Usage Qty</t>
        </is>
      </c>
      <c r="F6" t="inlineStr">
        <is>
          <t>Unit Price</t>
        </is>
      </c>
      <c r="G6" t="inlineStr">
        <is>
          <t>Monthly Cost</t>
        </is>
      </c>
      <c r="H6" t="inlineStr">
        <is>
          <t>Custom Label</t>
        </is>
      </c>
      <c r="I6" t="inlineStr">
        <is>
          <t>Discount %</t>
        </is>
      </c>
      <c r="J6" t="inlineStr">
        <is>
          <t>Discounted Monthly Cost</t>
        </is>
      </c>
      <c r="K6" t="inlineStr">
        <is>
          <t>Discounted Annual Cost</t>
        </is>
      </c>
      <c r="L6" t="inlineStr">
        <is>
          <t>Custom Note</t>
        </is>
      </c>
    </row>
    <row r="7">
      <c r="A7"/>
      <c r="B7" t="inlineStr">
        <is>
          <t>Exadata Database Service on Cloud@Customer X11M</t>
        </is>
      </c>
      <c r="C7"/>
      <c r="D7"/>
      <c r="E7"/>
      <c r="F7"/>
      <c r="G7" s="23"/>
      <c r="H7"/>
      <c r="I7" s="9">
        <f>IF($K$3&gt;1,$K$3/100,$K$3)</f>
        <v>0.15</v>
      </c>
      <c r="J7" s="23">
        <f>IF(G7="","",G7*(1-IF($K$3&gt;1,$K$3/100,$K$3)))</f>
      </c>
      <c r="K7" s="23">
        <f>IF(J7="","",J7*12)</f>
      </c>
      <c r="L7" t="inlineStr">
        <is>
          <t>Test BOM baseline: single rack; High redundancy default; license model TBD - choose BYOL or License Included.</t>
        </is>
      </c>
    </row>
    <row r="8">
      <c r="A8"/>
      <c r="B8" t="inlineStr">
        <is>
          <t>Exadata Cloud@Customer X11M Rack - single rack baseline</t>
        </is>
      </c>
      <c r="C8">
        <v>1</v>
      </c>
      <c r="D8">
        <v>1</v>
      </c>
      <c r="E8"/>
      <c r="F8"/>
      <c r="G8" s="23"/>
      <c r="H8"/>
      <c r="I8" s="9">
        <f>IF($K$3&gt;1,$K$3/100,$K$3)</f>
        <v>0.15</v>
      </c>
      <c r="J8" s="23">
        <f>IF(G8="","",G8*(1-IF($K$3&gt;1,$K$3/100,$K$3)))</f>
      </c>
      <c r="K8" s="23">
        <f>IF(J8="","",J8*12)</f>
      </c>
      <c r="L8" t="inlineStr">
        <is>
          <t>Each rack should be modeled as prepopulated with 2 database servers.</t>
        </is>
      </c>
    </row>
    <row r="9">
      <c r="A9"/>
      <c r="B9" t="inlineStr">
        <is>
          <t>Exadata Database Service on Cloud@Customer X11M - Database Server</t>
        </is>
      </c>
      <c r="C9">
        <v>2</v>
      </c>
      <c r="D9">
        <v>1</v>
      </c>
      <c r="E9"/>
      <c r="F9"/>
      <c r="G9" s="23"/>
      <c r="H9"/>
      <c r="I9" s="9">
        <f>IF($K$3&gt;1,$K$3/100,$K$3)</f>
        <v>0.15</v>
      </c>
      <c r="J9" s="23">
        <f>IF(G9="","",G9*(1-IF($K$3&gt;1,$K$3/100,$K$3)))</f>
      </c>
      <c r="K9" s="23">
        <f>IF(J9="","",J9*12)</f>
      </c>
      <c r="L9" t="inlineStr">
        <is>
          <t>Baseline single-rack configuration includes 2 database servers. Additional database servers increase usable memory and database cores/ECPUs.</t>
        </is>
      </c>
    </row>
    <row r="10">
      <c r="A10"/>
      <c r="B10" t="inlineStr">
        <is>
          <t>Exadata Database Service on Cloud@Customer X11M - Storage Server</t>
        </is>
      </c>
      <c r="C10">
        <v>3</v>
      </c>
      <c r="D10">
        <v>1</v>
      </c>
      <c r="E10"/>
      <c r="F10"/>
      <c r="G10" s="23"/>
      <c r="H10"/>
      <c r="I10" s="9">
        <f>IF($K$3&gt;1,$K$3/100,$K$3)</f>
        <v>0.15</v>
      </c>
      <c r="J10" s="23">
        <f>IF(G10="","",G10*(1-IF($K$3&gt;1,$K$3/100,$K$3)))</f>
      </c>
      <c r="K10" s="23">
        <f>IF(J10="","",J10*12)</f>
      </c>
      <c r="L10" t="inlineStr">
        <is>
          <t>Minimum storage-server count is 3. Assumes High redundancy unless Normal redundancy is explicitly specified.</t>
        </is>
      </c>
    </row>
    <row r="11">
      <c r="A11"/>
      <c r="B11" t="inlineStr">
        <is>
          <t>Exadata Database ECPU - Dedicated Infrastructure</t>
        </is>
      </c>
      <c r="C11"/>
      <c r="D11">
        <v>1</v>
      </c>
      <c r="E11">
        <v>744</v>
      </c>
      <c r="F11"/>
      <c r="G11" s="23"/>
      <c r="H11"/>
      <c r="I11" s="9">
        <f>IF($K$3&gt;1,$K$3/100,$K$3)</f>
        <v>0.15</v>
      </c>
      <c r="J11" s="23">
        <f>IF(G11="","",G11*(1-IF($K$3&gt;1,$K$3/100,$K$3)))</f>
      </c>
      <c r="K11" s="23">
        <f>IF(J11="","",J11*12)</f>
      </c>
      <c r="L11" t="inlineStr">
        <is>
          <t>Software license model TBD - choose BYOL or License Included before final pricing.</t>
        </is>
      </c>
    </row>
    <row r="12">
      <c r="B12" t="inlineStr">
        <is>
          <t>Monthly Total</t>
        </is>
      </c>
      <c r="G12" s="23">
        <f>SUM(G7:G11)</f>
        <v>0</v>
      </c>
      <c r="I12" s="9">
        <f>IF($K$3&gt;1,$K$3/100,$K$3)</f>
        <v>0.15</v>
      </c>
      <c r="J12" s="23">
        <f>SUM(J7:J11)</f>
        <v>0</v>
      </c>
      <c r="K12" s="23">
        <f>SUM(K7:K11)</f>
        <v>0</v>
      </c>
    </row>
    <row r="14">
      <c r="A14" t="inlineStr">
        <is>
          <t>Quote is for investment proposal only.</t>
        </is>
      </c>
    </row>
    <row r="16">
      <c r="A16" t="inlineStr">
        <is>
          <t>Disclaimer: Pricing is an estimate based on Oracle Cost Estimator or user-provided list-price inputs. It is not a formal Oracle quote. Validate pricing, terms, discounts, and availability with Oracle before procurement.</t>
        </is>
      </c>
    </row>
  </sheetData>
  <autoFilter ref="A6:L12"/>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M14"/>
  <sheetViews>
    <sheetView workbookViewId="0" tabSelected="1">
      <pane ySplit="10" topLeftCell="A11" activePane="bottomLeft" state="frozen"/>
    </sheetView>
  </sheetViews>
  <sheetFormatPr defaultRowHeight="15"/>
  <cols>
    <col min="1" max="1" width="16" customWidth="1"/>
    <col min="2" max="2" width="72" customWidth="1"/>
    <col min="3" max="3" width="18" customWidth="1"/>
    <col min="4" max="4" width="16" customWidth="1"/>
    <col min="5" max="5" width="12" customWidth="1"/>
    <col min="6" max="6" width="12" customWidth="1"/>
    <col min="7" max="7" width="18" customWidth="1"/>
    <col min="8" max="8" width="18" customWidth="1"/>
    <col min="9" max="9" width="18" customWidth="1"/>
    <col min="10" max="10" width="12" customWidth="1"/>
    <col min="11" max="11" width="20" customWidth="1"/>
    <col min="12" max="12" width="20" customWidth="1"/>
    <col min="13" max="13" width="20" customWidth="1"/>
  </cols>
  <sheetData>
    <row r="1">
      <c r="A1" t="inlineStr">
        <is>
          <t>Customer BOM (as of 06/26/2026)</t>
        </is>
      </c>
    </row>
    <row r="2">
      <c r="A2" t="inlineStr">
        <is>
          <t>Reference label: Oracle Cloud BOM</t>
        </is>
      </c>
    </row>
    <row r="3">
      <c r="A3" t="inlineStr">
        <is>
          <t>Currency: USD</t>
        </is>
      </c>
    </row>
    <row r="4">
      <c r="A4" t="inlineStr">
        <is>
          <t>Realm: PUBLIC</t>
        </is>
      </c>
    </row>
    <row r="5">
      <c r="A5" t="inlineStr" s="24">
        <is>
          <t>Environment Summary</t>
        </is>
      </c>
      <c r="B5" t="inlineStr" s="24">
        <is>
          <t>Monthly List</t>
        </is>
      </c>
      <c r="C5" t="inlineStr" s="24">
        <is>
          <t>Annual List</t>
        </is>
      </c>
      <c r="D5" t="inlineStr" s="24">
        <is>
          <t>One-Time List</t>
        </is>
      </c>
    </row>
    <row r="6">
      <c r="A6" t="inlineStr">
        <is>
          <t>General</t>
        </is>
      </c>
      <c r="B6" s="23">
        <f>SUM(G11:G10)</f>
        <v>0</v>
      </c>
      <c r="C6" s="23">
        <f>SUM(H11:H10)</f>
        <v>0</v>
      </c>
      <c r="D6" s="23">
        <f>SUM(I11:I10)</f>
        <v>0</v>
      </c>
    </row>
    <row r="7">
      <c r="A7" t="inlineStr">
        <is>
          <t>All Environments</t>
        </is>
      </c>
      <c r="B7" s="23">
        <f>SUM(K11:K10)</f>
        <v>0</v>
      </c>
      <c r="C7" s="23">
        <f>SUM(L11:L10)</f>
        <v>0</v>
      </c>
      <c r="D7" s="23">
        <f>SUM(M11:M10)</f>
        <v>0</v>
      </c>
    </row>
    <row r="9">
      <c r="A9" t="inlineStr" s="25">
        <is>
          <t>SKU Detail</t>
        </is>
      </c>
      <c r="B9" s="25"/>
      <c r="C9" s="25"/>
      <c r="D9" s="25"/>
      <c r="E9" t="inlineStr" s="26">
        <is>
          <t>General</t>
        </is>
      </c>
      <c r="F9" s="26"/>
      <c r="G9" s="26"/>
      <c r="H9" s="26"/>
      <c r="I9" s="26"/>
      <c r="J9" t="inlineStr" s="31">
        <is>
          <t>All Environments</t>
        </is>
      </c>
      <c r="K9" s="31"/>
      <c r="L9" s="31"/>
      <c r="M9" s="31"/>
    </row>
    <row r="10">
      <c r="A10" t="inlineStr" s="25">
        <is>
          <t>Part</t>
        </is>
      </c>
      <c r="B10" t="inlineStr" s="25">
        <is>
          <t>Description</t>
        </is>
      </c>
      <c r="C10" t="inlineStr" s="25">
        <is>
          <t>Billing Basis</t>
        </is>
      </c>
      <c r="D10" t="inlineStr" s="25">
        <is>
          <t>Unit List Price</t>
        </is>
      </c>
      <c r="E10" t="inlineStr" s="26">
        <is>
          <t>Qty</t>
        </is>
      </c>
      <c r="F10" t="inlineStr" s="26">
        <is>
          <t>Hrs</t>
        </is>
      </c>
      <c r="G10" t="inlineStr" s="26">
        <is>
          <t>Monthly List</t>
        </is>
      </c>
      <c r="H10" t="inlineStr" s="26">
        <is>
          <t>Annual List</t>
        </is>
      </c>
      <c r="I10" t="inlineStr" s="26">
        <is>
          <t>One-Time List</t>
        </is>
      </c>
      <c r="J10" t="inlineStr" s="31">
        <is>
          <t>Total Qty</t>
        </is>
      </c>
      <c r="K10" t="inlineStr" s="31">
        <is>
          <t>Total Monthly List</t>
        </is>
      </c>
      <c r="L10" t="inlineStr" s="31">
        <is>
          <t>Total Annual List</t>
        </is>
      </c>
      <c r="M10" t="inlineStr" s="31">
        <is>
          <t>Total One-Time List</t>
        </is>
      </c>
    </row>
    <row r="12">
      <c r="A12" t="inlineStr">
        <is>
          <t>Customer-facing view shows list prices only.</t>
        </is>
      </c>
    </row>
    <row r="14">
      <c r="A14" t="inlineStr">
        <is>
          <t>Disclaimer: Pricing is an estimate based on Oracle Cost Estimator or user-provided list-price inputs. It is not a formal Oracle quote. Validate pricing, terms, discounts, and availability with Oracle before procurement.</t>
        </is>
      </c>
    </row>
  </sheetData>
  <autoFilter ref="A10:M10"/>
  <mergeCells count="3">
    <mergeCell ref="A9:D9"/>
    <mergeCell ref="E9:I9"/>
    <mergeCell ref="J9:M9"/>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PAAS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2026-05-23T00:31:38Z</dcterms:created>
  <dcterms:modified xsi:type="dcterms:W3CDTF">2026-05-23T00:31:38Z</dcterms:modified>
</cp:coreProperties>
</file>